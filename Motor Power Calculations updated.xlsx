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tor Power Requirements" sheetId="1" r:id="rId5"/>
    <sheet state="visible" name="Battery Power Requirements" sheetId="2" r:id="rId6"/>
    <sheet state="visible" name="Motor Max Speed and Torque" sheetId="3" r:id="rId7"/>
  </sheets>
  <definedNames/>
  <calcPr/>
</workbook>
</file>

<file path=xl/sharedStrings.xml><?xml version="1.0" encoding="utf-8"?>
<sst xmlns="http://schemas.openxmlformats.org/spreadsheetml/2006/main" count="64" uniqueCount="51">
  <si>
    <t>RPM Max</t>
  </si>
  <si>
    <t>Gear Ratio</t>
  </si>
  <si>
    <t>Expected RPM Output</t>
  </si>
  <si>
    <t>Needed RPM max</t>
  </si>
  <si>
    <t>radius (m)</t>
  </si>
  <si>
    <t>Max torque (Nm)</t>
  </si>
  <si>
    <t>Angular Velocity</t>
  </si>
  <si>
    <t>Power Mechanical (W)</t>
  </si>
  <si>
    <t>Motor Efficiency</t>
  </si>
  <si>
    <t>Rated Power Electrical</t>
  </si>
  <si>
    <t>Torque</t>
  </si>
  <si>
    <t>.84 ai answer</t>
  </si>
  <si>
    <t>Voltage</t>
  </si>
  <si>
    <t>Expected Current 20:1</t>
  </si>
  <si>
    <t>Expected Current 16:1</t>
  </si>
  <si>
    <t>Expected Current 25:1</t>
  </si>
  <si>
    <t>Rated Current</t>
  </si>
  <si>
    <t>Expected peak 20:1</t>
  </si>
  <si>
    <t>Expected peak 16:1</t>
  </si>
  <si>
    <t>Expected peak 25:1</t>
  </si>
  <si>
    <t>peak power electrical</t>
  </si>
  <si>
    <t>Expected Cold Crank Current 20:1</t>
  </si>
  <si>
    <t>Expected Cold Crank Current 16:1</t>
  </si>
  <si>
    <t>Expected Cold Crank Current 25:1</t>
  </si>
  <si>
    <t>Expected Rated Current 20:1</t>
  </si>
  <si>
    <t>Expected Rated Current 16:1</t>
  </si>
  <si>
    <t>Expected Rated Current 25:1</t>
  </si>
  <si>
    <t>Peak Power Electrical (both motor)</t>
  </si>
  <si>
    <t>Power Electrical Rated (both motor)</t>
  </si>
  <si>
    <t>Ah needed 20:1 lead acid battery (50%)</t>
  </si>
  <si>
    <t>Ah needed 16:1 lead acid battery (50%)</t>
  </si>
  <si>
    <t>Ah needed 25:1 lead acid battery (50%)</t>
  </si>
  <si>
    <t>Ah needed 20:1 lithium ion battery (80%)</t>
  </si>
  <si>
    <t>Ah needed 16:1 lithium ion battery (80%)</t>
  </si>
  <si>
    <t>Ah needed 25:1 lithium ion battery (80%)</t>
  </si>
  <si>
    <t>Expected Watt Hours 20:1</t>
  </si>
  <si>
    <t>Expected Watt Hours 16:1</t>
  </si>
  <si>
    <t>Expected Watt Hours 25:1</t>
  </si>
  <si>
    <t>Expected Ah From Wh 20:1 (100%)</t>
  </si>
  <si>
    <t>Expected Ah From Wh 16:1 (100%)</t>
  </si>
  <si>
    <t>Expected Ah From Wh 25:1 (100%)</t>
  </si>
  <si>
    <t>Below is at 85% Efficiency</t>
  </si>
  <si>
    <t>Steady torque estimate</t>
  </si>
  <si>
    <t>298AH @12V led acid</t>
  </si>
  <si>
    <t>Torque from data rounding up</t>
  </si>
  <si>
    <t>200AH @ 12V lead acid</t>
  </si>
  <si>
    <t>Max Velocity (m/s)</t>
  </si>
  <si>
    <t>Max Velocity (mph)</t>
  </si>
  <si>
    <t>Max regular torque (Nm)</t>
  </si>
  <si>
    <t>Max Peak Torque (Nm)</t>
  </si>
  <si>
    <t>Max Acceleration (m/s)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</si>
</sst>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63"/>
    <col customWidth="1" min="4" max="4" width="14.63"/>
    <col customWidth="1" min="5" max="5" width="15.13"/>
    <col customWidth="1" min="6" max="6" width="14.63"/>
    <col customWidth="1" min="7" max="8" width="17.75"/>
    <col customWidth="1" min="9" max="9" width="18.63"/>
    <col customWidth="1" min="10" max="10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10</v>
      </c>
    </row>
    <row r="2">
      <c r="A2" s="1">
        <v>3000.0</v>
      </c>
      <c r="B2" s="1">
        <v>20.0</v>
      </c>
      <c r="C2" s="2">
        <f t="shared" ref="C2:C4" si="1">A2/B2</f>
        <v>150</v>
      </c>
      <c r="D2" s="1">
        <v>3000.0</v>
      </c>
      <c r="E2" s="1">
        <v>0.3048</v>
      </c>
      <c r="F2" s="1">
        <v>1.0</v>
      </c>
      <c r="G2" s="2">
        <f t="shared" ref="G2:G4" si="2">((2*PI())/60)*D2</f>
        <v>314.1592654</v>
      </c>
      <c r="H2" s="2">
        <f t="shared" ref="H2:H4" si="3">F2*G2</f>
        <v>314.1592654</v>
      </c>
      <c r="I2" s="1">
        <v>0.5</v>
      </c>
      <c r="J2" s="2">
        <f t="shared" ref="J2:J4" si="4">H2/I2</f>
        <v>628.3185307</v>
      </c>
      <c r="L2" s="1" t="s">
        <v>11</v>
      </c>
    </row>
    <row r="3">
      <c r="A3" s="1">
        <v>3000.0</v>
      </c>
      <c r="B3" s="1">
        <v>16.0</v>
      </c>
      <c r="C3" s="2">
        <f t="shared" si="1"/>
        <v>187.5</v>
      </c>
      <c r="D3" s="2">
        <f>3000*(155/(A3/B3))</f>
        <v>2480</v>
      </c>
      <c r="E3" s="1">
        <v>0.3048</v>
      </c>
      <c r="F3" s="1">
        <v>0.83</v>
      </c>
      <c r="G3" s="2">
        <f t="shared" si="2"/>
        <v>259.7049927</v>
      </c>
      <c r="H3" s="2">
        <f t="shared" si="3"/>
        <v>215.5551439</v>
      </c>
      <c r="I3" s="1">
        <v>0.75</v>
      </c>
      <c r="J3" s="2">
        <f t="shared" si="4"/>
        <v>287.4068586</v>
      </c>
    </row>
    <row r="4">
      <c r="A4" s="1">
        <v>3000.0</v>
      </c>
      <c r="B4" s="1">
        <v>25.0</v>
      </c>
      <c r="C4" s="2">
        <f t="shared" si="1"/>
        <v>120</v>
      </c>
      <c r="D4" s="1">
        <v>3000.0</v>
      </c>
      <c r="E4" s="1">
        <v>0.3048</v>
      </c>
      <c r="F4" s="1">
        <v>1.43</v>
      </c>
      <c r="G4" s="2">
        <f t="shared" si="2"/>
        <v>314.1592654</v>
      </c>
      <c r="H4" s="2">
        <f t="shared" si="3"/>
        <v>449.2477495</v>
      </c>
      <c r="I4" s="1">
        <v>0.5</v>
      </c>
      <c r="J4" s="2">
        <f t="shared" si="4"/>
        <v>898.4954989</v>
      </c>
    </row>
    <row r="9">
      <c r="A9" s="1" t="s">
        <v>12</v>
      </c>
      <c r="B9" s="1">
        <v>12.0</v>
      </c>
      <c r="C9" s="1">
        <v>24.0</v>
      </c>
      <c r="D9" s="1">
        <v>36.0</v>
      </c>
      <c r="E9" s="1">
        <v>48.0</v>
      </c>
      <c r="G9" s="1" t="s">
        <v>12</v>
      </c>
      <c r="H9" s="1" t="s">
        <v>13</v>
      </c>
      <c r="I9" s="3" t="s">
        <v>14</v>
      </c>
      <c r="J9" s="1" t="s">
        <v>15</v>
      </c>
    </row>
    <row r="10">
      <c r="A10" s="1" t="s">
        <v>16</v>
      </c>
      <c r="B10" s="1">
        <v>46.88</v>
      </c>
      <c r="C10" s="1">
        <v>23.44</v>
      </c>
      <c r="D10" s="1">
        <v>15.63</v>
      </c>
      <c r="E10" s="1">
        <v>11.72</v>
      </c>
      <c r="G10" s="1">
        <v>12.0</v>
      </c>
      <c r="H10" s="2">
        <f>H2/G10</f>
        <v>26.17993878</v>
      </c>
      <c r="I10" s="2">
        <f>H3/G10</f>
        <v>17.96292866</v>
      </c>
      <c r="J10" s="2">
        <f>H4/G10</f>
        <v>37.43731246</v>
      </c>
    </row>
    <row r="11">
      <c r="G11" s="1">
        <v>24.0</v>
      </c>
      <c r="H11" s="2">
        <f>H2/G11</f>
        <v>13.08996939</v>
      </c>
      <c r="I11" s="2">
        <f>H3/G11</f>
        <v>8.981464331</v>
      </c>
      <c r="J11" s="2">
        <f>H4/G11</f>
        <v>18.71865623</v>
      </c>
    </row>
    <row r="12">
      <c r="G12" s="1">
        <v>36.0</v>
      </c>
      <c r="H12" s="2">
        <f>H2/G12</f>
        <v>8.72664626</v>
      </c>
      <c r="I12" s="2">
        <f>H3/G12</f>
        <v>5.987642887</v>
      </c>
      <c r="J12" s="2">
        <f>H4/G12</f>
        <v>12.47910415</v>
      </c>
    </row>
    <row r="13">
      <c r="G13" s="1">
        <v>48.0</v>
      </c>
      <c r="H13" s="2">
        <f>H2/G13</f>
        <v>6.544984695</v>
      </c>
      <c r="I13" s="2">
        <f>H3/G13</f>
        <v>4.490732165</v>
      </c>
      <c r="J13" s="2">
        <f>H4/G13</f>
        <v>9.359328114</v>
      </c>
    </row>
    <row r="15">
      <c r="H15" s="1" t="s">
        <v>17</v>
      </c>
      <c r="I15" s="3" t="s">
        <v>18</v>
      </c>
      <c r="J15" s="1" t="s">
        <v>19</v>
      </c>
      <c r="K15" s="1" t="s">
        <v>20</v>
      </c>
    </row>
    <row r="16">
      <c r="H16" s="2">
        <f>(4.3*G2)/G10</f>
        <v>112.5737368</v>
      </c>
      <c r="I16" s="2">
        <f>(4.3*G3)/G10</f>
        <v>93.06095572</v>
      </c>
      <c r="J16" s="2">
        <v>112.57373675363425</v>
      </c>
      <c r="K16" s="2">
        <f t="shared" ref="K16:K18" si="5">G2 * 4.3 / I2</f>
        <v>2701.769682</v>
      </c>
    </row>
    <row r="17">
      <c r="H17" s="2">
        <f>(4.3*G2)/G11</f>
        <v>56.28686838</v>
      </c>
      <c r="I17" s="2">
        <f>(4.3*G3)/G11</f>
        <v>46.53047786</v>
      </c>
      <c r="J17" s="2">
        <v>56.286868376817125</v>
      </c>
      <c r="K17" s="2">
        <f t="shared" si="5"/>
        <v>1488.975291</v>
      </c>
    </row>
    <row r="18">
      <c r="H18" s="2">
        <f>(4.3*G2)/G12</f>
        <v>37.52457892</v>
      </c>
      <c r="I18" s="2">
        <f>(4.3*G3)/G12</f>
        <v>31.02031857</v>
      </c>
      <c r="J18" s="2">
        <v>37.52457891787808</v>
      </c>
      <c r="K18" s="2">
        <f t="shared" si="5"/>
        <v>2701.769682</v>
      </c>
    </row>
    <row r="19">
      <c r="H19" s="2">
        <f>(4.3*G2)/G13</f>
        <v>28.14343419</v>
      </c>
      <c r="I19" s="2">
        <f>(4.3*G3)/G13</f>
        <v>23.26523893</v>
      </c>
      <c r="J19" s="2">
        <v>28.143434188408563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4" width="30.38"/>
    <col customWidth="1" min="5" max="7" width="31.25"/>
    <col customWidth="1" min="8" max="8" width="22.63"/>
    <col customWidth="1" min="9" max="11" width="35.13"/>
  </cols>
  <sheetData>
    <row r="1">
      <c r="A1" s="1" t="s">
        <v>12</v>
      </c>
      <c r="B1" s="1" t="s">
        <v>21</v>
      </c>
      <c r="C1" s="3" t="s">
        <v>22</v>
      </c>
      <c r="D1" s="1" t="s">
        <v>23</v>
      </c>
      <c r="E1" s="1" t="s">
        <v>24</v>
      </c>
      <c r="F1" s="3" t="s">
        <v>25</v>
      </c>
      <c r="G1" s="1" t="s">
        <v>26</v>
      </c>
    </row>
    <row r="2">
      <c r="A2" s="1">
        <v>12.0</v>
      </c>
      <c r="B2" s="2">
        <f>B7/A2</f>
        <v>264.8793806</v>
      </c>
      <c r="C2" s="2">
        <f>C7/A2</f>
        <v>248.1625486</v>
      </c>
      <c r="D2" s="2">
        <f>D7/A2</f>
        <v>264.8793806</v>
      </c>
      <c r="E2" s="2">
        <f>B8/A2</f>
        <v>61.59985595</v>
      </c>
      <c r="F2" s="2">
        <f>C8/A2</f>
        <v>47.9011431</v>
      </c>
      <c r="G2" s="2">
        <f>D8/A2</f>
        <v>88.08833333</v>
      </c>
    </row>
    <row r="3">
      <c r="A3" s="1">
        <v>24.0</v>
      </c>
      <c r="B3" s="2">
        <f>B7/A3</f>
        <v>132.4396903</v>
      </c>
      <c r="C3" s="2">
        <f>C7/A3</f>
        <v>124.0812743</v>
      </c>
      <c r="D3" s="2">
        <f>D7/A3</f>
        <v>132.4396903</v>
      </c>
      <c r="E3" s="2">
        <f>B8/A3</f>
        <v>30.79992798</v>
      </c>
      <c r="F3" s="2">
        <f>C8/A3</f>
        <v>23.95057155</v>
      </c>
      <c r="G3" s="2">
        <f>D8/A3</f>
        <v>44.04416667</v>
      </c>
    </row>
    <row r="4">
      <c r="A4" s="1">
        <v>36.0</v>
      </c>
      <c r="B4" s="2">
        <f>B7/A4</f>
        <v>88.29312687</v>
      </c>
      <c r="C4" s="2">
        <f>C7/A4</f>
        <v>82.72084953</v>
      </c>
      <c r="D4" s="2">
        <f>D7/A4</f>
        <v>88.29312687</v>
      </c>
      <c r="E4" s="2">
        <f>B8/A4</f>
        <v>20.53328532</v>
      </c>
      <c r="F4" s="2">
        <f>C8/A4</f>
        <v>15.9670477</v>
      </c>
      <c r="G4" s="2">
        <f>D8/A4</f>
        <v>29.36277778</v>
      </c>
    </row>
    <row r="5">
      <c r="A5" s="1">
        <v>48.0</v>
      </c>
      <c r="B5" s="2">
        <f>B7/A5</f>
        <v>66.21984515</v>
      </c>
      <c r="C5" s="2">
        <f>C7/A5</f>
        <v>62.04063714</v>
      </c>
      <c r="D5" s="2">
        <f>D7/A5</f>
        <v>66.21984515</v>
      </c>
      <c r="E5" s="2">
        <f>B8/A5</f>
        <v>15.39996399</v>
      </c>
      <c r="F5" s="2">
        <f>C8/A5</f>
        <v>11.97528577</v>
      </c>
      <c r="G5" s="2">
        <f>D8/A5</f>
        <v>22.02208333</v>
      </c>
    </row>
    <row r="7">
      <c r="A7" s="4" t="s">
        <v>27</v>
      </c>
      <c r="B7" s="5">
        <f>2*1589.27628358072</f>
        <v>3178.552567</v>
      </c>
      <c r="C7" s="5">
        <f>2*'Motor Power Requirements'!K17</f>
        <v>2977.950583</v>
      </c>
      <c r="D7" s="5">
        <f>2*1589.27628358072</f>
        <v>3178.552567</v>
      </c>
    </row>
    <row r="8">
      <c r="A8" s="6" t="s">
        <v>28</v>
      </c>
      <c r="B8" s="1">
        <f>2*369.5991357</f>
        <v>739.1982714</v>
      </c>
      <c r="C8" s="1">
        <f>2*'Motor Power Requirements'!J3</f>
        <v>574.8137172</v>
      </c>
      <c r="D8" s="1">
        <f>2*528.53</f>
        <v>1057.06</v>
      </c>
    </row>
    <row r="9">
      <c r="A9" s="5"/>
    </row>
    <row r="10">
      <c r="A10" s="6" t="s">
        <v>12</v>
      </c>
      <c r="B10" s="6" t="s">
        <v>29</v>
      </c>
      <c r="C10" s="4" t="s">
        <v>30</v>
      </c>
      <c r="D10" s="4" t="s">
        <v>31</v>
      </c>
      <c r="E10" s="6" t="s">
        <v>32</v>
      </c>
      <c r="F10" s="7" t="s">
        <v>33</v>
      </c>
      <c r="G10" s="4" t="s">
        <v>34</v>
      </c>
    </row>
    <row r="11">
      <c r="A11" s="1">
        <v>12.0</v>
      </c>
      <c r="B11" s="5">
        <f t="shared" ref="B11:D11" si="1">(100*E2*2)/(100-50)</f>
        <v>246.3994238</v>
      </c>
      <c r="C11" s="5">
        <f t="shared" si="1"/>
        <v>191.6045724</v>
      </c>
      <c r="D11" s="5">
        <f t="shared" si="1"/>
        <v>352.3533333</v>
      </c>
      <c r="E11" s="8">
        <f t="shared" ref="E11:E14" si="4">(100*E2*2)/(100-20)</f>
        <v>153.9996399</v>
      </c>
      <c r="F11" s="8">
        <f t="shared" ref="F11:G11" si="2">(100*2*F2)/(100-20)</f>
        <v>119.7528577</v>
      </c>
      <c r="G11" s="8">
        <f t="shared" si="2"/>
        <v>220.2208333</v>
      </c>
    </row>
    <row r="12">
      <c r="A12" s="1">
        <v>24.0</v>
      </c>
      <c r="B12" s="5">
        <f t="shared" ref="B12:B14" si="6">(100*2*E3)/50</f>
        <v>123.1997119</v>
      </c>
      <c r="C12" s="5">
        <f t="shared" ref="C12:D12" si="3">(100*F3*2)/(100-50)</f>
        <v>95.80228619</v>
      </c>
      <c r="D12" s="5">
        <f t="shared" si="3"/>
        <v>176.1766667</v>
      </c>
      <c r="E12" s="8">
        <f t="shared" si="4"/>
        <v>76.99981994</v>
      </c>
      <c r="F12" s="8">
        <f t="shared" ref="F12:G12" si="5">(100*2*F3)/(100-20)</f>
        <v>59.87642887</v>
      </c>
      <c r="G12" s="8">
        <f t="shared" si="5"/>
        <v>110.1104167</v>
      </c>
    </row>
    <row r="13">
      <c r="A13" s="1">
        <v>36.0</v>
      </c>
      <c r="B13" s="5">
        <f t="shared" si="6"/>
        <v>82.13314127</v>
      </c>
      <c r="C13" s="5">
        <f t="shared" ref="C13:D13" si="7">(100*F4*2)/(100-50)</f>
        <v>63.8681908</v>
      </c>
      <c r="D13" s="5">
        <f t="shared" si="7"/>
        <v>117.4511111</v>
      </c>
      <c r="E13" s="8">
        <f t="shared" si="4"/>
        <v>51.33321329</v>
      </c>
      <c r="F13" s="8">
        <f t="shared" ref="F13:G13" si="8">(100*2*F4)/(100-20)</f>
        <v>39.91761925</v>
      </c>
      <c r="G13" s="8">
        <f t="shared" si="8"/>
        <v>73.40694444</v>
      </c>
    </row>
    <row r="14">
      <c r="A14" s="1">
        <v>48.0</v>
      </c>
      <c r="B14" s="5">
        <f t="shared" si="6"/>
        <v>61.59985595</v>
      </c>
      <c r="C14" s="5">
        <f t="shared" ref="C14:D14" si="9">(100*F5*2)/(100-50)</f>
        <v>47.9011431</v>
      </c>
      <c r="D14" s="5">
        <f t="shared" si="9"/>
        <v>88.08833333</v>
      </c>
      <c r="E14" s="8">
        <f t="shared" si="4"/>
        <v>38.49990997</v>
      </c>
      <c r="F14" s="9">
        <f t="shared" ref="F14:G14" si="10">(100*2*F5)/(100-20)</f>
        <v>29.93821444</v>
      </c>
      <c r="G14" s="8">
        <f t="shared" si="10"/>
        <v>55.05520833</v>
      </c>
    </row>
    <row r="17">
      <c r="A17" s="1" t="s">
        <v>12</v>
      </c>
      <c r="B17" s="1" t="s">
        <v>35</v>
      </c>
      <c r="C17" s="1" t="s">
        <v>36</v>
      </c>
      <c r="D17" s="1" t="s">
        <v>37</v>
      </c>
      <c r="E17" s="1" t="s">
        <v>38</v>
      </c>
      <c r="F17" s="1" t="s">
        <v>39</v>
      </c>
      <c r="G17" s="1" t="s">
        <v>40</v>
      </c>
    </row>
    <row r="18">
      <c r="A18" s="1">
        <v>12.0</v>
      </c>
      <c r="B18" s="2">
        <f t="shared" ref="B18:D18" si="11">B8*2</f>
        <v>1478.396543</v>
      </c>
      <c r="C18" s="2">
        <f t="shared" si="11"/>
        <v>1149.627434</v>
      </c>
      <c r="D18" s="2">
        <f t="shared" si="11"/>
        <v>2114.12</v>
      </c>
      <c r="E18" s="2">
        <f t="shared" ref="E18:E21" si="13">B18/A18</f>
        <v>123.1997119</v>
      </c>
      <c r="F18" s="2">
        <f t="shared" ref="F18:F21" si="14">C18/A18</f>
        <v>95.80228619</v>
      </c>
      <c r="G18" s="2">
        <f t="shared" ref="G18:G21" si="15">D18/A18</f>
        <v>176.1766667</v>
      </c>
    </row>
    <row r="19">
      <c r="A19" s="1">
        <v>24.0</v>
      </c>
      <c r="B19" s="2">
        <f t="shared" ref="B19:D19" si="12">B8*2</f>
        <v>1478.396543</v>
      </c>
      <c r="C19" s="2">
        <f t="shared" si="12"/>
        <v>1149.627434</v>
      </c>
      <c r="D19" s="2">
        <f t="shared" si="12"/>
        <v>2114.12</v>
      </c>
      <c r="E19" s="2">
        <f t="shared" si="13"/>
        <v>61.59985595</v>
      </c>
      <c r="F19" s="2">
        <f t="shared" si="14"/>
        <v>47.9011431</v>
      </c>
      <c r="G19" s="2">
        <f t="shared" si="15"/>
        <v>88.08833333</v>
      </c>
    </row>
    <row r="20">
      <c r="A20" s="1">
        <v>36.0</v>
      </c>
      <c r="B20" s="1">
        <v>2114.12</v>
      </c>
      <c r="C20" s="2">
        <f t="shared" ref="C20:D20" si="16">C8*2</f>
        <v>1149.627434</v>
      </c>
      <c r="D20" s="2">
        <f t="shared" si="16"/>
        <v>2114.12</v>
      </c>
      <c r="E20" s="2">
        <f t="shared" si="13"/>
        <v>58.72555556</v>
      </c>
      <c r="F20" s="2">
        <f t="shared" si="14"/>
        <v>31.9340954</v>
      </c>
      <c r="G20" s="2">
        <f t="shared" si="15"/>
        <v>58.72555556</v>
      </c>
    </row>
    <row r="21">
      <c r="A21" s="1">
        <v>48.0</v>
      </c>
      <c r="B21" s="1">
        <v>2114.12</v>
      </c>
      <c r="C21" s="2">
        <f t="shared" ref="C21:D21" si="17">C8*2</f>
        <v>1149.627434</v>
      </c>
      <c r="D21" s="2">
        <f t="shared" si="17"/>
        <v>2114.12</v>
      </c>
      <c r="E21" s="2">
        <f t="shared" si="13"/>
        <v>44.04416667</v>
      </c>
      <c r="F21" s="2">
        <f t="shared" si="14"/>
        <v>23.95057155</v>
      </c>
      <c r="G21" s="2">
        <f t="shared" si="15"/>
        <v>44.04416667</v>
      </c>
    </row>
    <row r="28">
      <c r="A28" s="10" t="s">
        <v>41</v>
      </c>
    </row>
    <row r="29">
      <c r="A29" s="1" t="s">
        <v>12</v>
      </c>
      <c r="C29" s="1" t="s">
        <v>30</v>
      </c>
      <c r="F29" s="1" t="s">
        <v>33</v>
      </c>
    </row>
    <row r="30">
      <c r="A30" s="1">
        <v>12.0</v>
      </c>
      <c r="C30" s="2">
        <v>203.69019033333333</v>
      </c>
      <c r="F30" s="2">
        <v>127.30636895833334</v>
      </c>
    </row>
    <row r="31">
      <c r="A31" s="1">
        <v>24.0</v>
      </c>
      <c r="C31" s="2">
        <v>101.84509516666667</v>
      </c>
      <c r="F31" s="2">
        <v>63.65318447916667</v>
      </c>
    </row>
    <row r="32">
      <c r="A32" s="1">
        <v>36.0</v>
      </c>
      <c r="C32" s="2">
        <v>67.89673011111111</v>
      </c>
      <c r="F32" s="2">
        <v>42.43545631944444</v>
      </c>
    </row>
    <row r="33">
      <c r="A33" s="1">
        <v>48.0</v>
      </c>
      <c r="C33" s="2">
        <v>50.92254758333333</v>
      </c>
      <c r="F33" s="2">
        <v>31.826592239583334</v>
      </c>
    </row>
    <row r="36">
      <c r="A36" s="1" t="s">
        <v>12</v>
      </c>
      <c r="C36" s="1" t="s">
        <v>36</v>
      </c>
      <c r="F36" s="1" t="s">
        <v>39</v>
      </c>
    </row>
    <row r="37">
      <c r="A37" s="1">
        <v>12.0</v>
      </c>
      <c r="C37" s="2">
        <v>1222.141142</v>
      </c>
      <c r="F37" s="2">
        <v>101.84509516666667</v>
      </c>
    </row>
    <row r="38">
      <c r="A38" s="1">
        <v>24.0</v>
      </c>
      <c r="C38" s="2">
        <v>1222.141142</v>
      </c>
      <c r="F38" s="2">
        <v>50.92254758333333</v>
      </c>
    </row>
    <row r="39">
      <c r="A39" s="1">
        <v>36.0</v>
      </c>
      <c r="C39" s="2">
        <v>1222.141142</v>
      </c>
      <c r="F39" s="2">
        <v>33.948365055555556</v>
      </c>
    </row>
    <row r="40">
      <c r="A40" s="1">
        <v>48.0</v>
      </c>
      <c r="C40" s="2">
        <v>1222.141142</v>
      </c>
      <c r="F40" s="2">
        <v>25.461273791666667</v>
      </c>
    </row>
    <row r="45">
      <c r="C45" s="1" t="s">
        <v>42</v>
      </c>
      <c r="D45" s="1" t="s">
        <v>43</v>
      </c>
    </row>
    <row r="46">
      <c r="C46" s="1" t="s">
        <v>44</v>
      </c>
      <c r="D46" s="1" t="s">
        <v>45</v>
      </c>
    </row>
  </sheetData>
  <mergeCells count="1">
    <mergeCell ref="A28:G2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63"/>
    <col customWidth="1" min="4" max="4" width="14.63"/>
    <col customWidth="1" min="5" max="5" width="15.13"/>
    <col customWidth="1" min="6" max="6" width="19.13"/>
    <col customWidth="1" min="7" max="7" width="18.13"/>
    <col customWidth="1" min="8" max="8" width="20.75"/>
  </cols>
  <sheetData>
    <row r="1">
      <c r="A1" s="1" t="s">
        <v>0</v>
      </c>
      <c r="B1" s="1" t="s">
        <v>1</v>
      </c>
      <c r="C1" s="1" t="s">
        <v>2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</row>
    <row r="2">
      <c r="A2" s="1">
        <v>3000.0</v>
      </c>
      <c r="B2" s="1">
        <v>20.0</v>
      </c>
      <c r="C2" s="2">
        <f>A2/B2</f>
        <v>150</v>
      </c>
      <c r="D2" s="2">
        <f t="shared" ref="D2:D4" si="1">(C2*2*PI()*0.3048)/60</f>
        <v>4.787787204</v>
      </c>
      <c r="E2" s="2">
        <f t="shared" ref="E2:E4" si="2">D2*2.236936</f>
        <v>10.70997356</v>
      </c>
      <c r="F2" s="2">
        <f t="shared" ref="F2:F4" si="3">1.43*B2</f>
        <v>28.6</v>
      </c>
      <c r="G2" s="2">
        <f t="shared" ref="G2:G4" si="4">4.3*B2</f>
        <v>86</v>
      </c>
    </row>
    <row r="3">
      <c r="A3" s="1">
        <v>3000.0</v>
      </c>
      <c r="B3" s="1">
        <v>16.0</v>
      </c>
      <c r="C3" s="1">
        <v>155.0</v>
      </c>
      <c r="D3" s="2">
        <f t="shared" si="1"/>
        <v>4.947380111</v>
      </c>
      <c r="E3" s="2">
        <f t="shared" si="2"/>
        <v>11.06697268</v>
      </c>
      <c r="F3" s="2">
        <f t="shared" si="3"/>
        <v>22.88</v>
      </c>
      <c r="G3" s="2">
        <f t="shared" si="4"/>
        <v>68.8</v>
      </c>
    </row>
    <row r="4">
      <c r="A4" s="1">
        <v>3000.0</v>
      </c>
      <c r="B4" s="1">
        <v>25.0</v>
      </c>
      <c r="C4" s="2">
        <f>A4/B4</f>
        <v>120</v>
      </c>
      <c r="D4" s="2">
        <f t="shared" si="1"/>
        <v>3.830229763</v>
      </c>
      <c r="E4" s="2">
        <f t="shared" si="2"/>
        <v>8.567978846</v>
      </c>
      <c r="F4" s="2">
        <f t="shared" si="3"/>
        <v>35.75</v>
      </c>
      <c r="G4" s="2">
        <f t="shared" si="4"/>
        <v>107.5</v>
      </c>
    </row>
  </sheetData>
  <drawing r:id="rId1"/>
</worksheet>
</file>